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3C75EB6-4C4A-404F-A4B3-6A9D274FECB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0" hidden="1">'danh-muc-linh-kien'!$A$1:$D$11</definedName>
    <definedName name="_xlnm._FilterDatabase" localSheetId="1" hidden="1">'trang-thai-tram'!$A$1:$E$101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1" i="2" l="1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<sst xmlns="http://schemas.openxmlformats.org/spreadsheetml/2006/main" count="335" uniqueCount="145">
  <si>
    <t>ma_linh_kien</t>
  </si>
  <si>
    <t>ten_thiet_bi</t>
  </si>
  <si>
    <t>don_gia</t>
  </si>
  <si>
    <t>loai_storage</t>
  </si>
  <si>
    <t>Ghi chú</t>
  </si>
  <si>
    <t>SSD</t>
  </si>
  <si>
    <t>ma_linh_kien = Khóa chính (duy nhất, không trùng).</t>
  </si>
  <si>
    <t>Chữ xanh dương = dữ liệu nhập tay.</t>
  </si>
  <si>
    <t>HDD</t>
  </si>
  <si>
    <t>ma_tram</t>
  </si>
  <si>
    <t>dung_luong_ram</t>
  </si>
  <si>
    <t>ngay_lap_dat</t>
  </si>
  <si>
    <t>tram-01</t>
  </si>
  <si>
    <t>4GB</t>
  </si>
  <si>
    <t>ma_linh_kien = Khóa ngoại → danh-muc-linh-kien.ma_linh_kien.</t>
  </si>
  <si>
    <t>tram-02</t>
  </si>
  <si>
    <t>2GB</t>
  </si>
  <si>
    <t>ten_thiet_bi (cột E) là công thức VLOOKUP + TRIM, không nhập tay.</t>
  </si>
  <si>
    <t>tram-03</t>
  </si>
  <si>
    <t>Dữ liệu mẫu 100 trạm do Tấn Khiêm dựng; Bảo thay/bổ sung dữ liệu thật và dữ liệu bẩn để test.</t>
  </si>
  <si>
    <t>tram-04</t>
  </si>
  <si>
    <t>Không chèn hàng trống / Merge Cell trong vùng A1:E101.</t>
  </si>
  <si>
    <t>tram-05</t>
  </si>
  <si>
    <t>tram-06</t>
  </si>
  <si>
    <t>tram-07</t>
  </si>
  <si>
    <t>tram-08</t>
  </si>
  <si>
    <t>tram-09</t>
  </si>
  <si>
    <t>16GB</t>
  </si>
  <si>
    <t>tram-10</t>
  </si>
  <si>
    <t>tram-11</t>
  </si>
  <si>
    <t>tram-12</t>
  </si>
  <si>
    <t>tram-13</t>
  </si>
  <si>
    <t>8GB</t>
  </si>
  <si>
    <t>tram-14</t>
  </si>
  <si>
    <t>tram-15</t>
  </si>
  <si>
    <t>tram-16</t>
  </si>
  <si>
    <t>tram-17</t>
  </si>
  <si>
    <t>tram-18</t>
  </si>
  <si>
    <t>tram-19</t>
  </si>
  <si>
    <t>tram-20</t>
  </si>
  <si>
    <t>tram-21</t>
  </si>
  <si>
    <t>tram-22</t>
  </si>
  <si>
    <t>tram-23</t>
  </si>
  <si>
    <t>tram-24</t>
  </si>
  <si>
    <t>tram-25</t>
  </si>
  <si>
    <t>tram-26</t>
  </si>
  <si>
    <t>tram-27</t>
  </si>
  <si>
    <t>tram-28</t>
  </si>
  <si>
    <t>tram-29</t>
  </si>
  <si>
    <t>tram-30</t>
  </si>
  <si>
    <t>tram-31</t>
  </si>
  <si>
    <t>tram-32</t>
  </si>
  <si>
    <t>tram-33</t>
  </si>
  <si>
    <t>tram-34</t>
  </si>
  <si>
    <t>tram-35</t>
  </si>
  <si>
    <t>tram-36</t>
  </si>
  <si>
    <t>tram-37</t>
  </si>
  <si>
    <t>tram-38</t>
  </si>
  <si>
    <t>tram-39</t>
  </si>
  <si>
    <t>tram-40</t>
  </si>
  <si>
    <t>tram-41</t>
  </si>
  <si>
    <t>tram-42</t>
  </si>
  <si>
    <t>tram-43</t>
  </si>
  <si>
    <t>tram-44</t>
  </si>
  <si>
    <t>tram-45</t>
  </si>
  <si>
    <t>tram-46</t>
  </si>
  <si>
    <t>tram-47</t>
  </si>
  <si>
    <t>tram-48</t>
  </si>
  <si>
    <t>tram-49</t>
  </si>
  <si>
    <t>tram-50</t>
  </si>
  <si>
    <t>tram-51</t>
  </si>
  <si>
    <t>tram-52</t>
  </si>
  <si>
    <t>tram-53</t>
  </si>
  <si>
    <t>tram-54</t>
  </si>
  <si>
    <t>tram-55</t>
  </si>
  <si>
    <t>tram-56</t>
  </si>
  <si>
    <t>tram-57</t>
  </si>
  <si>
    <t>tram-58</t>
  </si>
  <si>
    <t>tram-59</t>
  </si>
  <si>
    <t>tram-60</t>
  </si>
  <si>
    <t>tram-61</t>
  </si>
  <si>
    <t>tram-62</t>
  </si>
  <si>
    <t>tram-63</t>
  </si>
  <si>
    <t>tram-64</t>
  </si>
  <si>
    <t>tram-65</t>
  </si>
  <si>
    <t>tram-66</t>
  </si>
  <si>
    <t>tram-67</t>
  </si>
  <si>
    <t>tram-68</t>
  </si>
  <si>
    <t>tram-69</t>
  </si>
  <si>
    <t>tram-70</t>
  </si>
  <si>
    <t>tram-71</t>
  </si>
  <si>
    <t>tram-72</t>
  </si>
  <si>
    <t>tram-73</t>
  </si>
  <si>
    <t>tram-74</t>
  </si>
  <si>
    <t>tram-75</t>
  </si>
  <si>
    <t>tram-76</t>
  </si>
  <si>
    <t>tram-77</t>
  </si>
  <si>
    <t>tram-78</t>
  </si>
  <si>
    <t>tram-79</t>
  </si>
  <si>
    <t>tram-80</t>
  </si>
  <si>
    <t>tram-81</t>
  </si>
  <si>
    <t>tram-82</t>
  </si>
  <si>
    <t>tram-83</t>
  </si>
  <si>
    <t>tram-84</t>
  </si>
  <si>
    <t>tram-85</t>
  </si>
  <si>
    <t>tram-86</t>
  </si>
  <si>
    <t>tram-87</t>
  </si>
  <si>
    <t>tram-88</t>
  </si>
  <si>
    <t>tram-89</t>
  </si>
  <si>
    <t>tram-90</t>
  </si>
  <si>
    <t>tram-91</t>
  </si>
  <si>
    <t>tram-92</t>
  </si>
  <si>
    <t>tram-93</t>
  </si>
  <si>
    <t>tram-94</t>
  </si>
  <si>
    <t>tram-95</t>
  </si>
  <si>
    <t>tram-96</t>
  </si>
  <si>
    <t>tram-97</t>
  </si>
  <si>
    <t>tram-98</t>
  </si>
  <si>
    <t>tram-99</t>
  </si>
  <si>
    <t>tram-100</t>
  </si>
  <si>
    <t>CPU-AMD-01</t>
  </si>
  <si>
    <t>HDD-2TB-01</t>
  </si>
  <si>
    <t xml:space="preserve">CPU-AMD-01  </t>
  </si>
  <si>
    <t>RAM-16G-01</t>
  </si>
  <si>
    <t>SSD-500G-01</t>
  </si>
  <si>
    <t xml:space="preserve">  HDD-2TB-01 </t>
  </si>
  <si>
    <t xml:space="preserve">  RAM-32G-01 </t>
  </si>
  <si>
    <t xml:space="preserve">  CPU-INTEL-01 </t>
  </si>
  <si>
    <t xml:space="preserve">  SSD-500G-01 </t>
  </si>
  <si>
    <t xml:space="preserve">  RAM-16G-01 </t>
  </si>
  <si>
    <t>CPU-INTEL-01</t>
  </si>
  <si>
    <t>RAM-32G-01</t>
  </si>
  <si>
    <t xml:space="preserve"> CPU-AMD-01</t>
  </si>
  <si>
    <t xml:space="preserve">  CPU-AMD-01 </t>
  </si>
  <si>
    <t xml:space="preserve">HDD-2TB-01  </t>
  </si>
  <si>
    <t xml:space="preserve"> RAM-32G-01</t>
  </si>
  <si>
    <t xml:space="preserve"> RAM-16G-01</t>
  </si>
  <si>
    <t xml:space="preserve"> HDD-2TB-01</t>
  </si>
  <si>
    <t>CPU Intel Core i5</t>
  </si>
  <si>
    <t>CPU AMD Ryzen 5</t>
  </si>
  <si>
    <t>RAM 16GB DDR4</t>
  </si>
  <si>
    <t>RAM 32GB DDR4</t>
  </si>
  <si>
    <t>SSD 500GB NVMe</t>
  </si>
  <si>
    <t>HDD 2TB SATA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</si>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</sst>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4" fillId="0" borderId="1" xfId="0" applyFont="1" applyBorder="1"/>
    <xf numFmtId="0" fontId="5" fillId="0" borderId="0" xfId="0" applyFont="1"/>
    <xf numFmtId="0" fontId="0" fillId="0" borderId="2" xfId="0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91" zoomScaleNormal="100" workbookViewId="0">
      <pane ySplit="1" topLeftCell="A2" activePane="bottomLeft" state="frozen"/>
      <selection pane="bottomLeft" activeCell="D11" sqref="D11"/>
    </sheetView>
  </sheetViews>
  <sheetFormatPr defaultColWidth="8.6640625" defaultRowHeight="14.4" x14ac:dyDescent="0.3"/>
  <cols>
    <col min="1" max="1" width="16" customWidth="1"/>
    <col min="2" max="2" width="28" customWidth="1"/>
    <col min="3" max="3" width="14" customWidth="1"/>
    <col min="4" max="4" width="15" customWidth="1"/>
    <col min="6" max="6" width="5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6" x14ac:dyDescent="0.3">
      <c r="A2" s="8" t="s">
        <v>130</v>
      </c>
      <c r="B2" s="8" t="s">
        <v>138</v>
      </c>
      <c r="C2" s="9">
        <v>1500000</v>
      </c>
      <c r="D2" s="8" t="s">
        <v>144</v>
      </c>
      <c r="F2" t="s">
        <v>6</v>
      </c>
    </row>
    <row r="3" spans="1:6" x14ac:dyDescent="0.3">
      <c r="A3" s="8" t="s">
        <v>120</v>
      </c>
      <c r="B3" s="8" t="s">
        <v>139</v>
      </c>
      <c r="C3" s="9">
        <v>1600000</v>
      </c>
      <c r="D3" s="8" t="s">
        <v>144</v>
      </c>
      <c r="F3" t="s">
        <v>7</v>
      </c>
    </row>
    <row r="4" spans="1:6" x14ac:dyDescent="0.3">
      <c r="A4" s="8" t="s">
        <v>123</v>
      </c>
      <c r="B4" s="8" t="s">
        <v>140</v>
      </c>
      <c r="C4" s="9">
        <v>450000</v>
      </c>
      <c r="D4" s="8" t="s">
        <v>144</v>
      </c>
    </row>
    <row r="5" spans="1:6" x14ac:dyDescent="0.3">
      <c r="A5" s="8" t="s">
        <v>131</v>
      </c>
      <c r="B5" s="8" t="s">
        <v>141</v>
      </c>
      <c r="C5" s="9">
        <v>850000</v>
      </c>
      <c r="D5" s="8" t="s">
        <v>144</v>
      </c>
    </row>
    <row r="6" spans="1:6" x14ac:dyDescent="0.3">
      <c r="A6" s="8" t="s">
        <v>124</v>
      </c>
      <c r="B6" s="8" t="s">
        <v>142</v>
      </c>
      <c r="C6" s="9">
        <v>600000</v>
      </c>
      <c r="D6" s="8" t="s">
        <v>5</v>
      </c>
    </row>
    <row r="7" spans="1:6" x14ac:dyDescent="0.3">
      <c r="A7" s="8" t="s">
        <v>121</v>
      </c>
      <c r="B7" s="8" t="s">
        <v>143</v>
      </c>
      <c r="C7" s="9">
        <v>550000</v>
      </c>
      <c r="D7" s="8" t="s">
        <v>8</v>
      </c>
    </row>
    <row r="8" spans="1:6" x14ac:dyDescent="0.3">
      <c r="A8" s="3"/>
      <c r="B8" s="3"/>
      <c r="C8" s="4"/>
      <c r="D8" s="3"/>
    </row>
    <row r="9" spans="1:6" x14ac:dyDescent="0.3">
      <c r="A9" s="3"/>
      <c r="B9" s="3"/>
      <c r="C9" s="4"/>
      <c r="D9" s="3"/>
    </row>
    <row r="10" spans="1:6" x14ac:dyDescent="0.3">
      <c r="A10" s="3"/>
      <c r="B10" s="3"/>
      <c r="C10" s="4"/>
      <c r="D10" s="3"/>
    </row>
    <row r="11" spans="1:6" x14ac:dyDescent="0.3">
      <c r="A11" s="3"/>
      <c r="B11" s="3"/>
      <c r="C11" s="4"/>
      <c r="D11" s="3"/>
    </row>
  </sheetData>
  <autoFilter ref="A1:D1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zoomScaleNormal="100" workbookViewId="0">
      <pane ySplit="1" topLeftCell="A2" activePane="bottomLeft" state="frozen"/>
      <selection pane="bottomLeft" activeCell="F82" sqref="F82"/>
    </sheetView>
  </sheetViews>
  <sheetFormatPr defaultColWidth="8.6640625" defaultRowHeight="14.4" x14ac:dyDescent="0.3"/>
  <cols>
    <col min="1" max="1" width="12" customWidth="1"/>
    <col min="2" max="4" width="16" customWidth="1"/>
    <col min="5" max="5" width="28" customWidth="1"/>
    <col min="7" max="7" width="70" customWidth="1"/>
  </cols>
  <sheetData>
    <row r="1" spans="1:7" x14ac:dyDescent="0.3">
      <c r="A1" s="1" t="s">
        <v>9</v>
      </c>
      <c r="B1" s="1" t="s">
        <v>0</v>
      </c>
      <c r="C1" s="1" t="s">
        <v>10</v>
      </c>
      <c r="D1" s="1" t="s">
        <v>11</v>
      </c>
      <c r="E1" s="1" t="s">
        <v>1</v>
      </c>
      <c r="G1" s="2" t="s">
        <v>4</v>
      </c>
    </row>
    <row r="2" spans="1:7" x14ac:dyDescent="0.3">
      <c r="A2" s="3" t="s">
        <v>12</v>
      </c>
      <c r="B2" s="8" t="s">
        <v>120</v>
      </c>
      <c r="C2" s="3" t="s">
        <v>13</v>
      </c>
      <c r="D2" s="5">
        <v>46070</v>
      </c>
      <c r="E2" s="6" t="str">
        <f>VLOOKUP(TRIM(B2),'danh-muc-linh-kien'!$A$2:$D$100,2,FALSE())</f>
        <v>CPU AMD Ryzen 5</v>
      </c>
      <c r="G2" s="7" t="s">
        <v>14</v>
      </c>
    </row>
    <row r="3" spans="1:7" x14ac:dyDescent="0.3">
      <c r="A3" s="3" t="s">
        <v>15</v>
      </c>
      <c r="B3" s="8" t="s">
        <v>121</v>
      </c>
      <c r="C3" s="3" t="s">
        <v>16</v>
      </c>
      <c r="D3" s="5">
        <v>46050</v>
      </c>
      <c r="E3" s="6" t="str">
        <f>VLOOKUP(TRIM(B3),'danh-muc-linh-kien'!$A$2:$D$100,2,FALSE())</f>
        <v>HDD 2TB SATA</v>
      </c>
      <c r="G3" s="7" t="s">
        <v>17</v>
      </c>
    </row>
    <row r="4" spans="1:7" x14ac:dyDescent="0.3">
      <c r="A4" s="3" t="s">
        <v>18</v>
      </c>
      <c r="B4" s="8" t="s">
        <v>121</v>
      </c>
      <c r="C4" s="3" t="s">
        <v>16</v>
      </c>
      <c r="D4" s="5">
        <v>46031</v>
      </c>
      <c r="E4" s="6" t="str">
        <f>VLOOKUP(TRIM(B4),'danh-muc-linh-kien'!$A$2:$D$100,2,FALSE())</f>
        <v>HDD 2TB SATA</v>
      </c>
      <c r="G4" s="7" t="s">
        <v>19</v>
      </c>
    </row>
    <row r="5" spans="1:7" x14ac:dyDescent="0.3">
      <c r="A5" s="3" t="s">
        <v>20</v>
      </c>
      <c r="B5" s="8" t="s">
        <v>122</v>
      </c>
      <c r="C5" s="3" t="s">
        <v>13</v>
      </c>
      <c r="D5" s="5">
        <v>46069</v>
      </c>
      <c r="E5" s="6" t="str">
        <f>VLOOKUP(TRIM(B5),'danh-muc-linh-kien'!$A$2:$D$100,2,FALSE())</f>
        <v>CPU AMD Ryzen 5</v>
      </c>
      <c r="G5" s="7" t="s">
        <v>21</v>
      </c>
    </row>
    <row r="6" spans="1:7" x14ac:dyDescent="0.3">
      <c r="A6" s="3" t="s">
        <v>22</v>
      </c>
      <c r="B6" s="8" t="s">
        <v>123</v>
      </c>
      <c r="C6" s="3" t="s">
        <v>13</v>
      </c>
      <c r="D6" s="5">
        <v>46063</v>
      </c>
      <c r="E6" s="6" t="str">
        <f>VLOOKUP(TRIM(B6),'danh-muc-linh-kien'!$A$2:$D$100,2,FALSE())</f>
        <v>RAM 16GB DDR4</v>
      </c>
    </row>
    <row r="7" spans="1:7" x14ac:dyDescent="0.3">
      <c r="A7" s="3" t="s">
        <v>23</v>
      </c>
      <c r="B7" s="8" t="s">
        <v>121</v>
      </c>
      <c r="C7" s="3" t="s">
        <v>13</v>
      </c>
      <c r="D7" s="5">
        <v>46070</v>
      </c>
      <c r="E7" s="6" t="str">
        <f>VLOOKUP(TRIM(B7),'danh-muc-linh-kien'!$A$2:$D$100,2,FALSE())</f>
        <v>HDD 2TB SATA</v>
      </c>
    </row>
    <row r="8" spans="1:7" x14ac:dyDescent="0.3">
      <c r="A8" s="3" t="s">
        <v>24</v>
      </c>
      <c r="B8" s="8" t="s">
        <v>124</v>
      </c>
      <c r="C8" s="3" t="s">
        <v>13</v>
      </c>
      <c r="D8" s="5">
        <v>46073</v>
      </c>
      <c r="E8" s="6" t="str">
        <f>VLOOKUP(TRIM(B8),'danh-muc-linh-kien'!$A$2:$D$100,2,FALSE())</f>
        <v>SSD 500GB NVMe</v>
      </c>
    </row>
    <row r="9" spans="1:7" x14ac:dyDescent="0.3">
      <c r="A9" s="3" t="s">
        <v>25</v>
      </c>
      <c r="B9" s="8" t="s">
        <v>125</v>
      </c>
      <c r="C9" s="3" t="s">
        <v>13</v>
      </c>
      <c r="D9" s="5">
        <v>46032</v>
      </c>
      <c r="E9" s="6" t="str">
        <f>VLOOKUP(TRIM(B9),'danh-muc-linh-kien'!$A$2:$D$100,2,FALSE())</f>
        <v>HDD 2TB SATA</v>
      </c>
    </row>
    <row r="10" spans="1:7" x14ac:dyDescent="0.3">
      <c r="A10" s="3" t="s">
        <v>26</v>
      </c>
      <c r="B10" s="8" t="s">
        <v>121</v>
      </c>
      <c r="C10" s="3" t="s">
        <v>27</v>
      </c>
      <c r="D10" s="5">
        <v>46061</v>
      </c>
      <c r="E10" s="6" t="str">
        <f>VLOOKUP(TRIM(B10),'danh-muc-linh-kien'!$A$2:$D$100,2,FALSE())</f>
        <v>HDD 2TB SATA</v>
      </c>
    </row>
    <row r="11" spans="1:7" x14ac:dyDescent="0.3">
      <c r="A11" s="3" t="s">
        <v>28</v>
      </c>
      <c r="B11" s="8" t="s">
        <v>126</v>
      </c>
      <c r="C11" s="3" t="s">
        <v>16</v>
      </c>
      <c r="D11" s="5">
        <v>46046</v>
      </c>
      <c r="E11" s="6" t="str">
        <f>VLOOKUP(TRIM(B11),'danh-muc-linh-kien'!$A$2:$D$100,2,FALSE())</f>
        <v>RAM 32GB DDR4</v>
      </c>
    </row>
    <row r="12" spans="1:7" x14ac:dyDescent="0.3">
      <c r="A12" s="3" t="s">
        <v>29</v>
      </c>
      <c r="B12" s="8" t="s">
        <v>127</v>
      </c>
      <c r="C12" s="3" t="s">
        <v>16</v>
      </c>
      <c r="D12" s="5">
        <v>46024</v>
      </c>
      <c r="E12" s="6" t="str">
        <f>VLOOKUP(TRIM(B12),'danh-muc-linh-kien'!$A$2:$D$100,2,FALSE())</f>
        <v>CPU Intel Core i5</v>
      </c>
    </row>
    <row r="13" spans="1:7" x14ac:dyDescent="0.3">
      <c r="A13" s="3" t="s">
        <v>30</v>
      </c>
      <c r="B13" s="8" t="s">
        <v>128</v>
      </c>
      <c r="C13" s="3" t="s">
        <v>16</v>
      </c>
      <c r="D13" s="5">
        <v>46055</v>
      </c>
      <c r="E13" s="6" t="str">
        <f>VLOOKUP(TRIM(B13),'danh-muc-linh-kien'!$A$2:$D$100,2,FALSE())</f>
        <v>SSD 500GB NVMe</v>
      </c>
    </row>
    <row r="14" spans="1:7" x14ac:dyDescent="0.3">
      <c r="A14" s="3" t="s">
        <v>31</v>
      </c>
      <c r="B14" s="8" t="s">
        <v>129</v>
      </c>
      <c r="C14" s="3" t="s">
        <v>32</v>
      </c>
      <c r="D14" s="5">
        <v>46052</v>
      </c>
      <c r="E14" s="6" t="str">
        <f>VLOOKUP(TRIM(B14),'danh-muc-linh-kien'!$A$2:$D$100,2,FALSE())</f>
        <v>RAM 16GB DDR4</v>
      </c>
    </row>
    <row r="15" spans="1:7" x14ac:dyDescent="0.3">
      <c r="A15" s="3" t="s">
        <v>33</v>
      </c>
      <c r="B15" s="8" t="s">
        <v>120</v>
      </c>
      <c r="C15" s="3" t="s">
        <v>27</v>
      </c>
      <c r="D15" s="5">
        <v>46075</v>
      </c>
      <c r="E15" s="6" t="str">
        <f>VLOOKUP(TRIM(B15),'danh-muc-linh-kien'!$A$2:$D$100,2,FALSE())</f>
        <v>CPU AMD Ryzen 5</v>
      </c>
    </row>
    <row r="16" spans="1:7" x14ac:dyDescent="0.3">
      <c r="A16" s="3" t="s">
        <v>34</v>
      </c>
      <c r="B16" s="8" t="s">
        <v>121</v>
      </c>
      <c r="C16" s="3" t="s">
        <v>16</v>
      </c>
      <c r="D16" s="5">
        <v>46050</v>
      </c>
      <c r="E16" s="6" t="str">
        <f>VLOOKUP(TRIM(B16),'danh-muc-linh-kien'!$A$2:$D$100,2,FALSE())</f>
        <v>HDD 2TB SATA</v>
      </c>
    </row>
    <row r="17" spans="1:5" x14ac:dyDescent="0.3">
      <c r="A17" s="3" t="s">
        <v>35</v>
      </c>
      <c r="B17" s="8" t="s">
        <v>130</v>
      </c>
      <c r="C17" s="3" t="s">
        <v>13</v>
      </c>
      <c r="D17" s="5">
        <v>46079</v>
      </c>
      <c r="E17" s="6" t="str">
        <f>VLOOKUP(TRIM(B17),'danh-muc-linh-kien'!$A$2:$D$100,2,FALSE())</f>
        <v>CPU Intel Core i5</v>
      </c>
    </row>
    <row r="18" spans="1:5" x14ac:dyDescent="0.3">
      <c r="A18" s="3" t="s">
        <v>36</v>
      </c>
      <c r="B18" s="8" t="s">
        <v>131</v>
      </c>
      <c r="C18" s="3" t="s">
        <v>27</v>
      </c>
      <c r="D18" s="5">
        <v>46083</v>
      </c>
      <c r="E18" s="6" t="str">
        <f>VLOOKUP(TRIM(B18),'danh-muc-linh-kien'!$A$2:$D$100,2,FALSE())</f>
        <v>RAM 32GB DDR4</v>
      </c>
    </row>
    <row r="19" spans="1:5" x14ac:dyDescent="0.3">
      <c r="A19" s="3" t="s">
        <v>37</v>
      </c>
      <c r="B19" s="8" t="s">
        <v>124</v>
      </c>
      <c r="C19" s="3" t="s">
        <v>13</v>
      </c>
      <c r="D19" s="5">
        <v>46078</v>
      </c>
      <c r="E19" s="6" t="str">
        <f>VLOOKUP(TRIM(B19),'danh-muc-linh-kien'!$A$2:$D$100,2,FALSE())</f>
        <v>SSD 500GB NVMe</v>
      </c>
    </row>
    <row r="20" spans="1:5" x14ac:dyDescent="0.3">
      <c r="A20" s="3" t="s">
        <v>38</v>
      </c>
      <c r="B20" s="8" t="s">
        <v>123</v>
      </c>
      <c r="C20" s="3" t="s">
        <v>16</v>
      </c>
      <c r="D20" s="5">
        <v>46026</v>
      </c>
      <c r="E20" s="6" t="str">
        <f>VLOOKUP(TRIM(B20),'danh-muc-linh-kien'!$A$2:$D$100,2,FALSE())</f>
        <v>RAM 16GB DDR4</v>
      </c>
    </row>
    <row r="21" spans="1:5" x14ac:dyDescent="0.3">
      <c r="A21" s="3" t="s">
        <v>39</v>
      </c>
      <c r="B21" s="8" t="s">
        <v>130</v>
      </c>
      <c r="C21" s="3" t="s">
        <v>16</v>
      </c>
      <c r="D21" s="5">
        <v>46031</v>
      </c>
      <c r="E21" s="6" t="str">
        <f>VLOOKUP(TRIM(B21),'danh-muc-linh-kien'!$A$2:$D$100,2,FALSE())</f>
        <v>CPU Intel Core i5</v>
      </c>
    </row>
    <row r="22" spans="1:5" x14ac:dyDescent="0.3">
      <c r="A22" s="3" t="s">
        <v>40</v>
      </c>
      <c r="B22" s="8" t="s">
        <v>129</v>
      </c>
      <c r="C22" s="3" t="s">
        <v>13</v>
      </c>
      <c r="D22" s="5">
        <v>46026</v>
      </c>
      <c r="E22" s="6" t="str">
        <f>VLOOKUP(TRIM(B22),'danh-muc-linh-kien'!$A$2:$D$100,2,FALSE())</f>
        <v>RAM 16GB DDR4</v>
      </c>
    </row>
    <row r="23" spans="1:5" x14ac:dyDescent="0.3">
      <c r="A23" s="3" t="s">
        <v>41</v>
      </c>
      <c r="B23" s="8" t="s">
        <v>131</v>
      </c>
      <c r="C23" s="3" t="s">
        <v>16</v>
      </c>
      <c r="D23" s="5">
        <v>46046</v>
      </c>
      <c r="E23" s="6" t="str">
        <f>VLOOKUP(TRIM(B23),'danh-muc-linh-kien'!$A$2:$D$100,2,FALSE())</f>
        <v>RAM 32GB DDR4</v>
      </c>
    </row>
    <row r="24" spans="1:5" x14ac:dyDescent="0.3">
      <c r="A24" s="3" t="s">
        <v>42</v>
      </c>
      <c r="B24" s="8" t="s">
        <v>130</v>
      </c>
      <c r="C24" s="3" t="s">
        <v>32</v>
      </c>
      <c r="D24" s="5">
        <v>46077</v>
      </c>
      <c r="E24" s="6" t="str">
        <f>VLOOKUP(TRIM(B24),'danh-muc-linh-kien'!$A$2:$D$100,2,FALSE())</f>
        <v>CPU Intel Core i5</v>
      </c>
    </row>
    <row r="25" spans="1:5" x14ac:dyDescent="0.3">
      <c r="A25" s="3" t="s">
        <v>43</v>
      </c>
      <c r="B25" s="8" t="s">
        <v>123</v>
      </c>
      <c r="C25" s="3" t="s">
        <v>16</v>
      </c>
      <c r="D25" s="5">
        <v>46029</v>
      </c>
      <c r="E25" s="6" t="str">
        <f>VLOOKUP(TRIM(B25),'danh-muc-linh-kien'!$A$2:$D$100,2,FALSE())</f>
        <v>RAM 16GB DDR4</v>
      </c>
    </row>
    <row r="26" spans="1:5" x14ac:dyDescent="0.3">
      <c r="A26" s="3" t="s">
        <v>44</v>
      </c>
      <c r="B26" s="8" t="s">
        <v>128</v>
      </c>
      <c r="C26" s="3" t="s">
        <v>27</v>
      </c>
      <c r="D26" s="5">
        <v>46083</v>
      </c>
      <c r="E26" s="6" t="str">
        <f>VLOOKUP(TRIM(B26),'danh-muc-linh-kien'!$A$2:$D$100,2,FALSE())</f>
        <v>SSD 500GB NVMe</v>
      </c>
    </row>
    <row r="27" spans="1:5" x14ac:dyDescent="0.3">
      <c r="A27" s="3" t="s">
        <v>45</v>
      </c>
      <c r="B27" s="8" t="s">
        <v>121</v>
      </c>
      <c r="C27" s="3" t="s">
        <v>16</v>
      </c>
      <c r="D27" s="5">
        <v>46060</v>
      </c>
      <c r="E27" s="6" t="str">
        <f>VLOOKUP(TRIM(B27),'danh-muc-linh-kien'!$A$2:$D$100,2,FALSE())</f>
        <v>HDD 2TB SATA</v>
      </c>
    </row>
    <row r="28" spans="1:5" x14ac:dyDescent="0.3">
      <c r="A28" s="3" t="s">
        <v>46</v>
      </c>
      <c r="B28" s="8" t="s">
        <v>124</v>
      </c>
      <c r="C28" s="3" t="s">
        <v>13</v>
      </c>
      <c r="D28" s="5">
        <v>46045</v>
      </c>
      <c r="E28" s="6" t="str">
        <f>VLOOKUP(TRIM(B28),'danh-muc-linh-kien'!$A$2:$D$100,2,FALSE())</f>
        <v>SSD 500GB NVMe</v>
      </c>
    </row>
    <row r="29" spans="1:5" x14ac:dyDescent="0.3">
      <c r="A29" s="3" t="s">
        <v>47</v>
      </c>
      <c r="B29" s="8" t="s">
        <v>131</v>
      </c>
      <c r="C29" s="3" t="s">
        <v>13</v>
      </c>
      <c r="D29" s="5">
        <v>46073</v>
      </c>
      <c r="E29" s="6" t="str">
        <f>VLOOKUP(TRIM(B29),'danh-muc-linh-kien'!$A$2:$D$100,2,FALSE())</f>
        <v>RAM 32GB DDR4</v>
      </c>
    </row>
    <row r="30" spans="1:5" x14ac:dyDescent="0.3">
      <c r="A30" s="3" t="s">
        <v>48</v>
      </c>
      <c r="B30" s="8" t="s">
        <v>127</v>
      </c>
      <c r="C30" s="3" t="s">
        <v>32</v>
      </c>
      <c r="D30" s="5">
        <v>46066</v>
      </c>
      <c r="E30" s="6" t="str">
        <f>VLOOKUP(TRIM(B30),'danh-muc-linh-kien'!$A$2:$D$100,2,FALSE())</f>
        <v>CPU Intel Core i5</v>
      </c>
    </row>
    <row r="31" spans="1:5" x14ac:dyDescent="0.3">
      <c r="A31" s="3" t="s">
        <v>49</v>
      </c>
      <c r="B31" s="8" t="s">
        <v>128</v>
      </c>
      <c r="C31" s="3" t="s">
        <v>27</v>
      </c>
      <c r="D31" s="5">
        <v>46079</v>
      </c>
      <c r="E31" s="6" t="str">
        <f>VLOOKUP(TRIM(B31),'danh-muc-linh-kien'!$A$2:$D$100,2,FALSE())</f>
        <v>SSD 500GB NVMe</v>
      </c>
    </row>
    <row r="32" spans="1:5" x14ac:dyDescent="0.3">
      <c r="A32" s="3" t="s">
        <v>50</v>
      </c>
      <c r="B32" s="8" t="s">
        <v>129</v>
      </c>
      <c r="C32" s="3" t="s">
        <v>27</v>
      </c>
      <c r="D32" s="5">
        <v>46045</v>
      </c>
      <c r="E32" s="6" t="str">
        <f>VLOOKUP(TRIM(B32),'danh-muc-linh-kien'!$A$2:$D$100,2,FALSE())</f>
        <v>RAM 16GB DDR4</v>
      </c>
    </row>
    <row r="33" spans="1:5" x14ac:dyDescent="0.3">
      <c r="A33" s="3" t="s">
        <v>51</v>
      </c>
      <c r="B33" s="8" t="s">
        <v>120</v>
      </c>
      <c r="C33" s="3" t="s">
        <v>16</v>
      </c>
      <c r="D33" s="5">
        <v>46061</v>
      </c>
      <c r="E33" s="6" t="str">
        <f>VLOOKUP(TRIM(B33),'danh-muc-linh-kien'!$A$2:$D$100,2,FALSE())</f>
        <v>CPU AMD Ryzen 5</v>
      </c>
    </row>
    <row r="34" spans="1:5" x14ac:dyDescent="0.3">
      <c r="A34" s="3" t="s">
        <v>52</v>
      </c>
      <c r="B34" s="8" t="s">
        <v>122</v>
      </c>
      <c r="C34" s="3" t="s">
        <v>16</v>
      </c>
      <c r="D34" s="5">
        <v>46025</v>
      </c>
      <c r="E34" s="6" t="str">
        <f>VLOOKUP(TRIM(B34),'danh-muc-linh-kien'!$A$2:$D$100,2,FALSE())</f>
        <v>CPU AMD Ryzen 5</v>
      </c>
    </row>
    <row r="35" spans="1:5" x14ac:dyDescent="0.3">
      <c r="A35" s="3" t="s">
        <v>53</v>
      </c>
      <c r="B35" s="8" t="s">
        <v>121</v>
      </c>
      <c r="C35" s="3" t="s">
        <v>27</v>
      </c>
      <c r="D35" s="5">
        <v>46056</v>
      </c>
      <c r="E35" s="6" t="str">
        <f>VLOOKUP(TRIM(B35),'danh-muc-linh-kien'!$A$2:$D$100,2,FALSE())</f>
        <v>HDD 2TB SATA</v>
      </c>
    </row>
    <row r="36" spans="1:5" x14ac:dyDescent="0.3">
      <c r="A36" s="3" t="s">
        <v>54</v>
      </c>
      <c r="B36" s="8" t="s">
        <v>131</v>
      </c>
      <c r="C36" s="3" t="s">
        <v>13</v>
      </c>
      <c r="D36" s="5">
        <v>46025</v>
      </c>
      <c r="E36" s="6" t="str">
        <f>VLOOKUP(TRIM(B36),'danh-muc-linh-kien'!$A$2:$D$100,2,FALSE())</f>
        <v>RAM 32GB DDR4</v>
      </c>
    </row>
    <row r="37" spans="1:5" x14ac:dyDescent="0.3">
      <c r="A37" s="3" t="s">
        <v>55</v>
      </c>
      <c r="B37" s="8" t="s">
        <v>132</v>
      </c>
      <c r="C37" s="3" t="s">
        <v>16</v>
      </c>
      <c r="D37" s="5">
        <v>46075</v>
      </c>
      <c r="E37" s="6" t="str">
        <f>VLOOKUP(TRIM(B37),'danh-muc-linh-kien'!$A$2:$D$100,2,FALSE())</f>
        <v>CPU AMD Ryzen 5</v>
      </c>
    </row>
    <row r="38" spans="1:5" x14ac:dyDescent="0.3">
      <c r="A38" s="3" t="s">
        <v>56</v>
      </c>
      <c r="B38" s="8" t="s">
        <v>123</v>
      </c>
      <c r="C38" s="3" t="s">
        <v>27</v>
      </c>
      <c r="D38" s="5">
        <v>46067</v>
      </c>
      <c r="E38" s="6" t="str">
        <f>VLOOKUP(TRIM(B38),'danh-muc-linh-kien'!$A$2:$D$100,2,FALSE())</f>
        <v>RAM 16GB DDR4</v>
      </c>
    </row>
    <row r="39" spans="1:5" x14ac:dyDescent="0.3">
      <c r="A39" s="3" t="s">
        <v>57</v>
      </c>
      <c r="B39" s="8" t="s">
        <v>133</v>
      </c>
      <c r="C39" s="3" t="s">
        <v>27</v>
      </c>
      <c r="D39" s="5">
        <v>46026</v>
      </c>
      <c r="E39" s="6" t="str">
        <f>VLOOKUP(TRIM(B39),'danh-muc-linh-kien'!$A$2:$D$100,2,FALSE())</f>
        <v>CPU AMD Ryzen 5</v>
      </c>
    </row>
    <row r="40" spans="1:5" x14ac:dyDescent="0.3">
      <c r="A40" s="3" t="s">
        <v>58</v>
      </c>
      <c r="B40" s="8" t="s">
        <v>130</v>
      </c>
      <c r="C40" s="3" t="s">
        <v>32</v>
      </c>
      <c r="D40" s="5">
        <v>46033</v>
      </c>
      <c r="E40" s="6" t="str">
        <f>VLOOKUP(TRIM(B40),'danh-muc-linh-kien'!$A$2:$D$100,2,FALSE())</f>
        <v>CPU Intel Core i5</v>
      </c>
    </row>
    <row r="41" spans="1:5" x14ac:dyDescent="0.3">
      <c r="A41" s="3" t="s">
        <v>59</v>
      </c>
      <c r="B41" s="8" t="s">
        <v>134</v>
      </c>
      <c r="C41" s="3" t="s">
        <v>16</v>
      </c>
      <c r="D41" s="5">
        <v>46033</v>
      </c>
      <c r="E41" s="6" t="str">
        <f>VLOOKUP(TRIM(B41),'danh-muc-linh-kien'!$A$2:$D$100,2,FALSE())</f>
        <v>HDD 2TB SATA</v>
      </c>
    </row>
    <row r="42" spans="1:5" x14ac:dyDescent="0.3">
      <c r="A42" s="3" t="s">
        <v>60</v>
      </c>
      <c r="B42" s="8" t="s">
        <v>121</v>
      </c>
      <c r="C42" s="3" t="s">
        <v>16</v>
      </c>
      <c r="D42" s="5">
        <v>46061</v>
      </c>
      <c r="E42" s="6" t="str">
        <f>VLOOKUP(TRIM(B42),'danh-muc-linh-kien'!$A$2:$D$100,2,FALSE())</f>
        <v>HDD 2TB SATA</v>
      </c>
    </row>
    <row r="43" spans="1:5" x14ac:dyDescent="0.3">
      <c r="A43" s="3" t="s">
        <v>61</v>
      </c>
      <c r="B43" s="8" t="s">
        <v>132</v>
      </c>
      <c r="C43" s="3" t="s">
        <v>16</v>
      </c>
      <c r="D43" s="5">
        <v>46077</v>
      </c>
      <c r="E43" s="6" t="str">
        <f>VLOOKUP(TRIM(B43),'danh-muc-linh-kien'!$A$2:$D$100,2,FALSE())</f>
        <v>CPU AMD Ryzen 5</v>
      </c>
    </row>
    <row r="44" spans="1:5" x14ac:dyDescent="0.3">
      <c r="A44" s="3" t="s">
        <v>62</v>
      </c>
      <c r="B44" s="8" t="s">
        <v>121</v>
      </c>
      <c r="C44" s="3" t="s">
        <v>27</v>
      </c>
      <c r="D44" s="5">
        <v>46074</v>
      </c>
      <c r="E44" s="6" t="str">
        <f>VLOOKUP(TRIM(B44),'danh-muc-linh-kien'!$A$2:$D$100,2,FALSE())</f>
        <v>HDD 2TB SATA</v>
      </c>
    </row>
    <row r="45" spans="1:5" x14ac:dyDescent="0.3">
      <c r="A45" s="3" t="s">
        <v>63</v>
      </c>
      <c r="B45" s="8" t="s">
        <v>120</v>
      </c>
      <c r="C45" s="3" t="s">
        <v>27</v>
      </c>
      <c r="D45" s="5">
        <v>46075</v>
      </c>
      <c r="E45" s="6" t="str">
        <f>VLOOKUP(TRIM(B45),'danh-muc-linh-kien'!$A$2:$D$100,2,FALSE())</f>
        <v>CPU AMD Ryzen 5</v>
      </c>
    </row>
    <row r="46" spans="1:5" x14ac:dyDescent="0.3">
      <c r="A46" s="3" t="s">
        <v>64</v>
      </c>
      <c r="B46" s="8" t="s">
        <v>121</v>
      </c>
      <c r="C46" s="3" t="s">
        <v>16</v>
      </c>
      <c r="D46" s="5">
        <v>46024</v>
      </c>
      <c r="E46" s="6" t="str">
        <f>VLOOKUP(TRIM(B46),'danh-muc-linh-kien'!$A$2:$D$100,2,FALSE())</f>
        <v>HDD 2TB SATA</v>
      </c>
    </row>
    <row r="47" spans="1:5" x14ac:dyDescent="0.3">
      <c r="A47" s="3" t="s">
        <v>65</v>
      </c>
      <c r="B47" s="8" t="s">
        <v>124</v>
      </c>
      <c r="C47" s="3" t="s">
        <v>13</v>
      </c>
      <c r="D47" s="5">
        <v>46036</v>
      </c>
      <c r="E47" s="6" t="str">
        <f>VLOOKUP(TRIM(B47),'danh-muc-linh-kien'!$A$2:$D$100,2,FALSE())</f>
        <v>SSD 500GB NVMe</v>
      </c>
    </row>
    <row r="48" spans="1:5" x14ac:dyDescent="0.3">
      <c r="A48" s="3" t="s">
        <v>66</v>
      </c>
      <c r="B48" s="8" t="s">
        <v>120</v>
      </c>
      <c r="C48" s="3" t="s">
        <v>13</v>
      </c>
      <c r="D48" s="5">
        <v>46042</v>
      </c>
      <c r="E48" s="6" t="str">
        <f>VLOOKUP(TRIM(B48),'danh-muc-linh-kien'!$A$2:$D$100,2,FALSE())</f>
        <v>CPU AMD Ryzen 5</v>
      </c>
    </row>
    <row r="49" spans="1:5" x14ac:dyDescent="0.3">
      <c r="A49" s="3" t="s">
        <v>67</v>
      </c>
      <c r="B49" s="8" t="s">
        <v>129</v>
      </c>
      <c r="C49" s="3" t="s">
        <v>27</v>
      </c>
      <c r="D49" s="5">
        <v>46076</v>
      </c>
      <c r="E49" s="6" t="str">
        <f>VLOOKUP(TRIM(B49),'danh-muc-linh-kien'!$A$2:$D$100,2,FALSE())</f>
        <v>RAM 16GB DDR4</v>
      </c>
    </row>
    <row r="50" spans="1:5" x14ac:dyDescent="0.3">
      <c r="A50" s="3" t="s">
        <v>68</v>
      </c>
      <c r="B50" s="8" t="s">
        <v>129</v>
      </c>
      <c r="C50" s="3" t="s">
        <v>32</v>
      </c>
      <c r="D50" s="5">
        <v>46048</v>
      </c>
      <c r="E50" s="6" t="str">
        <f>VLOOKUP(TRIM(B50),'danh-muc-linh-kien'!$A$2:$D$100,2,FALSE())</f>
        <v>RAM 16GB DDR4</v>
      </c>
    </row>
    <row r="51" spans="1:5" x14ac:dyDescent="0.3">
      <c r="A51" s="3" t="s">
        <v>69</v>
      </c>
      <c r="B51" s="8" t="s">
        <v>120</v>
      </c>
      <c r="C51" s="3" t="s">
        <v>16</v>
      </c>
      <c r="D51" s="5">
        <v>46067</v>
      </c>
      <c r="E51" s="6" t="str">
        <f>VLOOKUP(TRIM(B51),'danh-muc-linh-kien'!$A$2:$D$100,2,FALSE())</f>
        <v>CPU AMD Ryzen 5</v>
      </c>
    </row>
    <row r="52" spans="1:5" x14ac:dyDescent="0.3">
      <c r="A52" s="3" t="s">
        <v>70</v>
      </c>
      <c r="B52" s="8" t="s">
        <v>130</v>
      </c>
      <c r="C52" s="3" t="s">
        <v>16</v>
      </c>
      <c r="D52" s="5">
        <v>46069</v>
      </c>
      <c r="E52" s="6" t="str">
        <f>VLOOKUP(TRIM(B52),'danh-muc-linh-kien'!$A$2:$D$100,2,FALSE())</f>
        <v>CPU Intel Core i5</v>
      </c>
    </row>
    <row r="53" spans="1:5" x14ac:dyDescent="0.3">
      <c r="A53" s="3" t="s">
        <v>71</v>
      </c>
      <c r="B53" s="8" t="s">
        <v>121</v>
      </c>
      <c r="C53" s="3" t="s">
        <v>27</v>
      </c>
      <c r="D53" s="5">
        <v>46024</v>
      </c>
      <c r="E53" s="6" t="str">
        <f>VLOOKUP(TRIM(B53),'danh-muc-linh-kien'!$A$2:$D$100,2,FALSE())</f>
        <v>HDD 2TB SATA</v>
      </c>
    </row>
    <row r="54" spans="1:5" x14ac:dyDescent="0.3">
      <c r="A54" s="3" t="s">
        <v>72</v>
      </c>
      <c r="B54" s="8" t="s">
        <v>130</v>
      </c>
      <c r="C54" s="3" t="s">
        <v>16</v>
      </c>
      <c r="D54" s="5">
        <v>46038</v>
      </c>
      <c r="E54" s="6" t="str">
        <f>VLOOKUP(TRIM(B54),'danh-muc-linh-kien'!$A$2:$D$100,2,FALSE())</f>
        <v>CPU Intel Core i5</v>
      </c>
    </row>
    <row r="55" spans="1:5" x14ac:dyDescent="0.3">
      <c r="A55" s="3" t="s">
        <v>73</v>
      </c>
      <c r="B55" s="8" t="s">
        <v>130</v>
      </c>
      <c r="C55" s="3" t="s">
        <v>32</v>
      </c>
      <c r="D55" s="5">
        <v>46035</v>
      </c>
      <c r="E55" s="6" t="str">
        <f>VLOOKUP(TRIM(B55),'danh-muc-linh-kien'!$A$2:$D$100,2,FALSE())</f>
        <v>CPU Intel Core i5</v>
      </c>
    </row>
    <row r="56" spans="1:5" x14ac:dyDescent="0.3">
      <c r="A56" s="3" t="s">
        <v>74</v>
      </c>
      <c r="B56" s="8" t="s">
        <v>133</v>
      </c>
      <c r="C56" s="3" t="s">
        <v>13</v>
      </c>
      <c r="D56" s="5">
        <v>46050</v>
      </c>
      <c r="E56" s="6" t="str">
        <f>VLOOKUP(TRIM(B56),'danh-muc-linh-kien'!$A$2:$D$100,2,FALSE())</f>
        <v>CPU AMD Ryzen 5</v>
      </c>
    </row>
    <row r="57" spans="1:5" x14ac:dyDescent="0.3">
      <c r="A57" s="3" t="s">
        <v>75</v>
      </c>
      <c r="B57" s="8" t="s">
        <v>134</v>
      </c>
      <c r="C57" s="3" t="s">
        <v>13</v>
      </c>
      <c r="D57" s="5">
        <v>46065</v>
      </c>
      <c r="E57" s="6" t="str">
        <f>VLOOKUP(TRIM(B57),'danh-muc-linh-kien'!$A$2:$D$100,2,FALSE())</f>
        <v>HDD 2TB SATA</v>
      </c>
    </row>
    <row r="58" spans="1:5" x14ac:dyDescent="0.3">
      <c r="A58" s="3" t="s">
        <v>76</v>
      </c>
      <c r="B58" s="8" t="s">
        <v>120</v>
      </c>
      <c r="C58" s="3" t="s">
        <v>16</v>
      </c>
      <c r="D58" s="5">
        <v>46023</v>
      </c>
      <c r="E58" s="6" t="str">
        <f>VLOOKUP(TRIM(B58),'danh-muc-linh-kien'!$A$2:$D$100,2,FALSE())</f>
        <v>CPU AMD Ryzen 5</v>
      </c>
    </row>
    <row r="59" spans="1:5" x14ac:dyDescent="0.3">
      <c r="A59" s="3" t="s">
        <v>77</v>
      </c>
      <c r="B59" s="8" t="s">
        <v>124</v>
      </c>
      <c r="C59" s="3" t="s">
        <v>13</v>
      </c>
      <c r="D59" s="5">
        <v>46029</v>
      </c>
      <c r="E59" s="6" t="str">
        <f>VLOOKUP(TRIM(B59),'danh-muc-linh-kien'!$A$2:$D$100,2,FALSE())</f>
        <v>SSD 500GB NVMe</v>
      </c>
    </row>
    <row r="60" spans="1:5" x14ac:dyDescent="0.3">
      <c r="A60" s="3" t="s">
        <v>78</v>
      </c>
      <c r="B60" s="8" t="s">
        <v>130</v>
      </c>
      <c r="C60" s="3" t="s">
        <v>13</v>
      </c>
      <c r="D60" s="5">
        <v>46036</v>
      </c>
      <c r="E60" s="6" t="str">
        <f>VLOOKUP(TRIM(B60),'danh-muc-linh-kien'!$A$2:$D$100,2,FALSE())</f>
        <v>CPU Intel Core i5</v>
      </c>
    </row>
    <row r="61" spans="1:5" x14ac:dyDescent="0.3">
      <c r="A61" s="3" t="s">
        <v>79</v>
      </c>
      <c r="B61" s="8" t="s">
        <v>120</v>
      </c>
      <c r="C61" s="3" t="s">
        <v>16</v>
      </c>
      <c r="D61" s="5">
        <v>46058</v>
      </c>
      <c r="E61" s="6" t="str">
        <f>VLOOKUP(TRIM(B61),'danh-muc-linh-kien'!$A$2:$D$100,2,FALSE())</f>
        <v>CPU AMD Ryzen 5</v>
      </c>
    </row>
    <row r="62" spans="1:5" x14ac:dyDescent="0.3">
      <c r="A62" s="3" t="s">
        <v>80</v>
      </c>
      <c r="B62" s="8" t="s">
        <v>131</v>
      </c>
      <c r="C62" s="3" t="s">
        <v>13</v>
      </c>
      <c r="D62" s="5">
        <v>46062</v>
      </c>
      <c r="E62" s="6" t="str">
        <f>VLOOKUP(TRIM(B62),'danh-muc-linh-kien'!$A$2:$D$100,2,FALSE())</f>
        <v>RAM 32GB DDR4</v>
      </c>
    </row>
    <row r="63" spans="1:5" x14ac:dyDescent="0.3">
      <c r="A63" s="3" t="s">
        <v>81</v>
      </c>
      <c r="B63" s="8" t="s">
        <v>120</v>
      </c>
      <c r="C63" s="3" t="s">
        <v>16</v>
      </c>
      <c r="D63" s="5">
        <v>46073</v>
      </c>
      <c r="E63" s="6" t="str">
        <f>VLOOKUP(TRIM(B63),'danh-muc-linh-kien'!$A$2:$D$100,2,FALSE())</f>
        <v>CPU AMD Ryzen 5</v>
      </c>
    </row>
    <row r="64" spans="1:5" x14ac:dyDescent="0.3">
      <c r="A64" s="3" t="s">
        <v>82</v>
      </c>
      <c r="B64" s="8" t="s">
        <v>135</v>
      </c>
      <c r="C64" s="3" t="s">
        <v>27</v>
      </c>
      <c r="D64" s="5">
        <v>46026</v>
      </c>
      <c r="E64" s="6" t="str">
        <f>VLOOKUP(TRIM(B64),'danh-muc-linh-kien'!$A$2:$D$100,2,FALSE())</f>
        <v>RAM 32GB DDR4</v>
      </c>
    </row>
    <row r="65" spans="1:5" x14ac:dyDescent="0.3">
      <c r="A65" s="3" t="s">
        <v>83</v>
      </c>
      <c r="B65" s="8" t="s">
        <v>121</v>
      </c>
      <c r="C65" s="3" t="s">
        <v>27</v>
      </c>
      <c r="D65" s="5">
        <v>46057</v>
      </c>
      <c r="E65" s="6" t="str">
        <f>VLOOKUP(TRIM(B65),'danh-muc-linh-kien'!$A$2:$D$100,2,FALSE())</f>
        <v>HDD 2TB SATA</v>
      </c>
    </row>
    <row r="66" spans="1:5" x14ac:dyDescent="0.3">
      <c r="A66" s="3" t="s">
        <v>84</v>
      </c>
      <c r="B66" s="8" t="s">
        <v>130</v>
      </c>
      <c r="C66" s="3" t="s">
        <v>32</v>
      </c>
      <c r="D66" s="5">
        <v>46070</v>
      </c>
      <c r="E66" s="6" t="str">
        <f>VLOOKUP(TRIM(B66),'danh-muc-linh-kien'!$A$2:$D$100,2,FALSE())</f>
        <v>CPU Intel Core i5</v>
      </c>
    </row>
    <row r="67" spans="1:5" x14ac:dyDescent="0.3">
      <c r="A67" s="3" t="s">
        <v>85</v>
      </c>
      <c r="B67" s="8" t="s">
        <v>120</v>
      </c>
      <c r="C67" s="3" t="s">
        <v>16</v>
      </c>
      <c r="D67" s="5">
        <v>46033</v>
      </c>
      <c r="E67" s="6" t="str">
        <f>VLOOKUP(TRIM(B67),'danh-muc-linh-kien'!$A$2:$D$100,2,FALSE())</f>
        <v>CPU AMD Ryzen 5</v>
      </c>
    </row>
    <row r="68" spans="1:5" x14ac:dyDescent="0.3">
      <c r="A68" s="3" t="s">
        <v>86</v>
      </c>
      <c r="B68" s="8" t="s">
        <v>124</v>
      </c>
      <c r="C68" s="3" t="s">
        <v>32</v>
      </c>
      <c r="D68" s="5">
        <v>46058</v>
      </c>
      <c r="E68" s="6" t="str">
        <f>VLOOKUP(TRIM(B68),'danh-muc-linh-kien'!$A$2:$D$100,2,FALSE())</f>
        <v>SSD 500GB NVMe</v>
      </c>
    </row>
    <row r="69" spans="1:5" x14ac:dyDescent="0.3">
      <c r="A69" s="3" t="s">
        <v>87</v>
      </c>
      <c r="B69" s="8" t="s">
        <v>130</v>
      </c>
      <c r="C69" s="3" t="s">
        <v>13</v>
      </c>
      <c r="D69" s="5">
        <v>46039</v>
      </c>
      <c r="E69" s="6" t="str">
        <f>VLOOKUP(TRIM(B69),'danh-muc-linh-kien'!$A$2:$D$100,2,FALSE())</f>
        <v>CPU Intel Core i5</v>
      </c>
    </row>
    <row r="70" spans="1:5" x14ac:dyDescent="0.3">
      <c r="A70" s="3" t="s">
        <v>88</v>
      </c>
      <c r="B70" s="8" t="s">
        <v>124</v>
      </c>
      <c r="C70" s="3" t="s">
        <v>27</v>
      </c>
      <c r="D70" s="5">
        <v>46066</v>
      </c>
      <c r="E70" s="6" t="str">
        <f>VLOOKUP(TRIM(B70),'danh-muc-linh-kien'!$A$2:$D$100,2,FALSE())</f>
        <v>SSD 500GB NVMe</v>
      </c>
    </row>
    <row r="71" spans="1:5" x14ac:dyDescent="0.3">
      <c r="A71" s="3" t="s">
        <v>89</v>
      </c>
      <c r="B71" s="8" t="s">
        <v>131</v>
      </c>
      <c r="C71" s="3" t="s">
        <v>27</v>
      </c>
      <c r="D71" s="5">
        <v>46075</v>
      </c>
      <c r="E71" s="6" t="str">
        <f>VLOOKUP(TRIM(B71),'danh-muc-linh-kien'!$A$2:$D$100,2,FALSE())</f>
        <v>RAM 32GB DDR4</v>
      </c>
    </row>
    <row r="72" spans="1:5" x14ac:dyDescent="0.3">
      <c r="A72" s="3" t="s">
        <v>90</v>
      </c>
      <c r="B72" s="8" t="s">
        <v>133</v>
      </c>
      <c r="C72" s="3" t="s">
        <v>32</v>
      </c>
      <c r="D72" s="5">
        <v>46043</v>
      </c>
      <c r="E72" s="6" t="str">
        <f>VLOOKUP(TRIM(B72),'danh-muc-linh-kien'!$A$2:$D$100,2,FALSE())</f>
        <v>CPU AMD Ryzen 5</v>
      </c>
    </row>
    <row r="73" spans="1:5" x14ac:dyDescent="0.3">
      <c r="A73" s="3" t="s">
        <v>91</v>
      </c>
      <c r="B73" s="8" t="s">
        <v>123</v>
      </c>
      <c r="C73" s="3" t="s">
        <v>27</v>
      </c>
      <c r="D73" s="5">
        <v>46080</v>
      </c>
      <c r="E73" s="6" t="str">
        <f>VLOOKUP(TRIM(B73),'danh-muc-linh-kien'!$A$2:$D$100,2,FALSE())</f>
        <v>RAM 16GB DDR4</v>
      </c>
    </row>
    <row r="74" spans="1:5" x14ac:dyDescent="0.3">
      <c r="A74" s="3" t="s">
        <v>92</v>
      </c>
      <c r="B74" s="8" t="s">
        <v>130</v>
      </c>
      <c r="C74" s="3" t="s">
        <v>32</v>
      </c>
      <c r="D74" s="5">
        <v>46073</v>
      </c>
      <c r="E74" s="6" t="str">
        <f>VLOOKUP(TRIM(B74),'danh-muc-linh-kien'!$A$2:$D$100,2,FALSE())</f>
        <v>CPU Intel Core i5</v>
      </c>
    </row>
    <row r="75" spans="1:5" x14ac:dyDescent="0.3">
      <c r="A75" s="3" t="s">
        <v>93</v>
      </c>
      <c r="B75" s="8" t="s">
        <v>121</v>
      </c>
      <c r="C75" s="3" t="s">
        <v>16</v>
      </c>
      <c r="D75" s="5">
        <v>46048</v>
      </c>
      <c r="E75" s="6" t="str">
        <f>VLOOKUP(TRIM(B75),'danh-muc-linh-kien'!$A$2:$D$100,2,FALSE())</f>
        <v>HDD 2TB SATA</v>
      </c>
    </row>
    <row r="76" spans="1:5" x14ac:dyDescent="0.3">
      <c r="A76" s="3" t="s">
        <v>94</v>
      </c>
      <c r="B76" s="8" t="s">
        <v>121</v>
      </c>
      <c r="C76" s="3" t="s">
        <v>13</v>
      </c>
      <c r="D76" s="5">
        <v>46061</v>
      </c>
      <c r="E76" s="6" t="str">
        <f>VLOOKUP(TRIM(B76),'danh-muc-linh-kien'!$A$2:$D$100,2,FALSE())</f>
        <v>HDD 2TB SATA</v>
      </c>
    </row>
    <row r="77" spans="1:5" x14ac:dyDescent="0.3">
      <c r="A77" s="3" t="s">
        <v>95</v>
      </c>
      <c r="B77" s="8" t="s">
        <v>124</v>
      </c>
      <c r="C77" s="3" t="s">
        <v>13</v>
      </c>
      <c r="D77" s="5">
        <v>46061</v>
      </c>
      <c r="E77" s="6" t="str">
        <f>VLOOKUP(TRIM(B77),'danh-muc-linh-kien'!$A$2:$D$100,2,FALSE())</f>
        <v>SSD 500GB NVMe</v>
      </c>
    </row>
    <row r="78" spans="1:5" x14ac:dyDescent="0.3">
      <c r="A78" s="3" t="s">
        <v>96</v>
      </c>
      <c r="B78" s="8" t="s">
        <v>130</v>
      </c>
      <c r="C78" s="3" t="s">
        <v>32</v>
      </c>
      <c r="D78" s="5">
        <v>46037</v>
      </c>
      <c r="E78" s="6" t="str">
        <f>VLOOKUP(TRIM(B78),'danh-muc-linh-kien'!$A$2:$D$100,2,FALSE())</f>
        <v>CPU Intel Core i5</v>
      </c>
    </row>
    <row r="79" spans="1:5" x14ac:dyDescent="0.3">
      <c r="A79" s="3" t="s">
        <v>97</v>
      </c>
      <c r="B79" s="8" t="s">
        <v>131</v>
      </c>
      <c r="C79" s="3" t="s">
        <v>16</v>
      </c>
      <c r="D79" s="5">
        <v>46055</v>
      </c>
      <c r="E79" s="6" t="str">
        <f>VLOOKUP(TRIM(B79),'danh-muc-linh-kien'!$A$2:$D$100,2,FALSE())</f>
        <v>RAM 32GB DDR4</v>
      </c>
    </row>
    <row r="80" spans="1:5" x14ac:dyDescent="0.3">
      <c r="A80" s="3" t="s">
        <v>98</v>
      </c>
      <c r="B80" s="8" t="s">
        <v>130</v>
      </c>
      <c r="C80" s="3" t="s">
        <v>13</v>
      </c>
      <c r="D80" s="5">
        <v>46061</v>
      </c>
      <c r="E80" s="6" t="str">
        <f>VLOOKUP(TRIM(B80),'danh-muc-linh-kien'!$A$2:$D$100,2,FALSE())</f>
        <v>CPU Intel Core i5</v>
      </c>
    </row>
    <row r="81" spans="1:5" x14ac:dyDescent="0.3">
      <c r="A81" s="3" t="s">
        <v>99</v>
      </c>
      <c r="B81" s="8" t="s">
        <v>127</v>
      </c>
      <c r="C81" s="3" t="s">
        <v>16</v>
      </c>
      <c r="D81" s="5">
        <v>46052</v>
      </c>
      <c r="E81" s="6" t="str">
        <f>VLOOKUP(TRIM(B81),'danh-muc-linh-kien'!$A$2:$D$100,2,FALSE())</f>
        <v>CPU Intel Core i5</v>
      </c>
    </row>
    <row r="82" spans="1:5" x14ac:dyDescent="0.3">
      <c r="A82" s="3" t="s">
        <v>100</v>
      </c>
      <c r="B82" s="8" t="s">
        <v>136</v>
      </c>
      <c r="C82" s="3" t="s">
        <v>16</v>
      </c>
      <c r="D82" s="5">
        <v>46076</v>
      </c>
      <c r="E82" s="6" t="str">
        <f>VLOOKUP(TRIM(B82),'danh-muc-linh-kien'!$A$2:$D$100,2,FALSE())</f>
        <v>RAM 16GB DDR4</v>
      </c>
    </row>
    <row r="83" spans="1:5" x14ac:dyDescent="0.3">
      <c r="A83" s="3" t="s">
        <v>101</v>
      </c>
      <c r="B83" s="8" t="s">
        <v>131</v>
      </c>
      <c r="C83" s="3" t="s">
        <v>16</v>
      </c>
      <c r="D83" s="5">
        <v>46076</v>
      </c>
      <c r="E83" s="6" t="str">
        <f>VLOOKUP(TRIM(B83),'danh-muc-linh-kien'!$A$2:$D$100,2,FALSE())</f>
        <v>RAM 32GB DDR4</v>
      </c>
    </row>
    <row r="84" spans="1:5" x14ac:dyDescent="0.3">
      <c r="A84" s="3" t="s">
        <v>102</v>
      </c>
      <c r="B84" s="8" t="s">
        <v>123</v>
      </c>
      <c r="C84" s="3" t="s">
        <v>16</v>
      </c>
      <c r="D84" s="5">
        <v>46070</v>
      </c>
      <c r="E84" s="6" t="str">
        <f>VLOOKUP(TRIM(B84),'danh-muc-linh-kien'!$A$2:$D$100,2,FALSE())</f>
        <v>RAM 16GB DDR4</v>
      </c>
    </row>
    <row r="85" spans="1:5" x14ac:dyDescent="0.3">
      <c r="A85" s="3" t="s">
        <v>103</v>
      </c>
      <c r="B85" s="8" t="s">
        <v>137</v>
      </c>
      <c r="C85" s="3" t="s">
        <v>16</v>
      </c>
      <c r="D85" s="5">
        <v>46031</v>
      </c>
      <c r="E85" s="6" t="str">
        <f>VLOOKUP(TRIM(B85),'danh-muc-linh-kien'!$A$2:$D$100,2,FALSE())</f>
        <v>HDD 2TB SATA</v>
      </c>
    </row>
    <row r="86" spans="1:5" x14ac:dyDescent="0.3">
      <c r="A86" s="3" t="s">
        <v>104</v>
      </c>
      <c r="B86" s="8" t="s">
        <v>123</v>
      </c>
      <c r="C86" s="3" t="s">
        <v>16</v>
      </c>
      <c r="D86" s="5">
        <v>46071</v>
      </c>
      <c r="E86" s="6" t="str">
        <f>VLOOKUP(TRIM(B86),'danh-muc-linh-kien'!$A$2:$D$100,2,FALSE())</f>
        <v>RAM 16GB DDR4</v>
      </c>
    </row>
    <row r="87" spans="1:5" x14ac:dyDescent="0.3">
      <c r="A87" s="3" t="s">
        <v>105</v>
      </c>
      <c r="B87" s="8" t="s">
        <v>120</v>
      </c>
      <c r="C87" s="3" t="s">
        <v>27</v>
      </c>
      <c r="D87" s="5">
        <v>46053</v>
      </c>
      <c r="E87" s="6" t="str">
        <f>VLOOKUP(TRIM(B87),'danh-muc-linh-kien'!$A$2:$D$100,2,FALSE())</f>
        <v>CPU AMD Ryzen 5</v>
      </c>
    </row>
    <row r="88" spans="1:5" x14ac:dyDescent="0.3">
      <c r="A88" s="3" t="s">
        <v>106</v>
      </c>
      <c r="B88" s="8" t="s">
        <v>127</v>
      </c>
      <c r="C88" s="3" t="s">
        <v>27</v>
      </c>
      <c r="D88" s="5">
        <v>46083</v>
      </c>
      <c r="E88" s="6" t="str">
        <f>VLOOKUP(TRIM(B88),'danh-muc-linh-kien'!$A$2:$D$100,2,FALSE())</f>
        <v>CPU Intel Core i5</v>
      </c>
    </row>
    <row r="89" spans="1:5" x14ac:dyDescent="0.3">
      <c r="A89" s="3" t="s">
        <v>107</v>
      </c>
      <c r="B89" s="8" t="s">
        <v>120</v>
      </c>
      <c r="C89" s="3" t="s">
        <v>32</v>
      </c>
      <c r="D89" s="5">
        <v>46039</v>
      </c>
      <c r="E89" s="6" t="str">
        <f>VLOOKUP(TRIM(B89),'danh-muc-linh-kien'!$A$2:$D$100,2,FALSE())</f>
        <v>CPU AMD Ryzen 5</v>
      </c>
    </row>
    <row r="90" spans="1:5" x14ac:dyDescent="0.3">
      <c r="A90" s="3" t="s">
        <v>108</v>
      </c>
      <c r="B90" s="8" t="s">
        <v>130</v>
      </c>
      <c r="C90" s="3" t="s">
        <v>27</v>
      </c>
      <c r="D90" s="5">
        <v>46071</v>
      </c>
      <c r="E90" s="6" t="str">
        <f>VLOOKUP(TRIM(B90),'danh-muc-linh-kien'!$A$2:$D$100,2,FALSE())</f>
        <v>CPU Intel Core i5</v>
      </c>
    </row>
    <row r="91" spans="1:5" x14ac:dyDescent="0.3">
      <c r="A91" s="3" t="s">
        <v>109</v>
      </c>
      <c r="B91" s="8" t="s">
        <v>120</v>
      </c>
      <c r="C91" s="3" t="s">
        <v>32</v>
      </c>
      <c r="D91" s="5">
        <v>46064</v>
      </c>
      <c r="E91" s="6" t="str">
        <f>VLOOKUP(TRIM(B91),'danh-muc-linh-kien'!$A$2:$D$100,2,FALSE())</f>
        <v>CPU AMD Ryzen 5</v>
      </c>
    </row>
    <row r="92" spans="1:5" x14ac:dyDescent="0.3">
      <c r="A92" s="3" t="s">
        <v>110</v>
      </c>
      <c r="B92" s="8" t="s">
        <v>121</v>
      </c>
      <c r="C92" s="3" t="s">
        <v>13</v>
      </c>
      <c r="D92" s="5">
        <v>46075</v>
      </c>
      <c r="E92" s="6" t="str">
        <f>VLOOKUP(TRIM(B92),'danh-muc-linh-kien'!$A$2:$D$100,2,FALSE())</f>
        <v>HDD 2TB SATA</v>
      </c>
    </row>
    <row r="93" spans="1:5" x14ac:dyDescent="0.3">
      <c r="A93" s="3" t="s">
        <v>111</v>
      </c>
      <c r="B93" s="8" t="s">
        <v>130</v>
      </c>
      <c r="C93" s="3" t="s">
        <v>16</v>
      </c>
      <c r="D93" s="5">
        <v>46040</v>
      </c>
      <c r="E93" s="6" t="str">
        <f>VLOOKUP(TRIM(B93),'danh-muc-linh-kien'!$A$2:$D$100,2,FALSE())</f>
        <v>CPU Intel Core i5</v>
      </c>
    </row>
    <row r="94" spans="1:5" x14ac:dyDescent="0.3">
      <c r="A94" s="3" t="s">
        <v>112</v>
      </c>
      <c r="B94" s="8" t="s">
        <v>120</v>
      </c>
      <c r="C94" s="3" t="s">
        <v>13</v>
      </c>
      <c r="D94" s="5">
        <v>46042</v>
      </c>
      <c r="E94" s="6" t="str">
        <f>VLOOKUP(TRIM(B94),'danh-muc-linh-kien'!$A$2:$D$100,2,FALSE())</f>
        <v>CPU AMD Ryzen 5</v>
      </c>
    </row>
    <row r="95" spans="1:5" x14ac:dyDescent="0.3">
      <c r="A95" s="3" t="s">
        <v>113</v>
      </c>
      <c r="B95" s="8" t="s">
        <v>131</v>
      </c>
      <c r="C95" s="3" t="s">
        <v>32</v>
      </c>
      <c r="D95" s="5">
        <v>46082</v>
      </c>
      <c r="E95" s="6" t="str">
        <f>VLOOKUP(TRIM(B95),'danh-muc-linh-kien'!$A$2:$D$100,2,FALSE())</f>
        <v>RAM 32GB DDR4</v>
      </c>
    </row>
    <row r="96" spans="1:5" x14ac:dyDescent="0.3">
      <c r="A96" s="3" t="s">
        <v>114</v>
      </c>
      <c r="B96" s="8" t="s">
        <v>136</v>
      </c>
      <c r="C96" s="3" t="s">
        <v>16</v>
      </c>
      <c r="D96" s="5">
        <v>46031</v>
      </c>
      <c r="E96" s="6" t="str">
        <f>VLOOKUP(TRIM(B96),'danh-muc-linh-kien'!$A$2:$D$100,2,FALSE())</f>
        <v>RAM 16GB DDR4</v>
      </c>
    </row>
    <row r="97" spans="1:5" x14ac:dyDescent="0.3">
      <c r="A97" s="3" t="s">
        <v>115</v>
      </c>
      <c r="B97" s="8" t="s">
        <v>136</v>
      </c>
      <c r="C97" s="3" t="s">
        <v>27</v>
      </c>
      <c r="D97" s="5">
        <v>46060</v>
      </c>
      <c r="E97" s="6" t="str">
        <f>VLOOKUP(TRIM(B97),'danh-muc-linh-kien'!$A$2:$D$100,2,FALSE())</f>
        <v>RAM 16GB DDR4</v>
      </c>
    </row>
    <row r="98" spans="1:5" x14ac:dyDescent="0.3">
      <c r="A98" s="3" t="s">
        <v>116</v>
      </c>
      <c r="B98" s="8" t="s">
        <v>120</v>
      </c>
      <c r="C98" s="3" t="s">
        <v>27</v>
      </c>
      <c r="D98" s="5">
        <v>46029</v>
      </c>
      <c r="E98" s="6" t="str">
        <f>VLOOKUP(TRIM(B98),'danh-muc-linh-kien'!$A$2:$D$100,2,FALSE())</f>
        <v>CPU AMD Ryzen 5</v>
      </c>
    </row>
    <row r="99" spans="1:5" x14ac:dyDescent="0.3">
      <c r="A99" s="3" t="s">
        <v>117</v>
      </c>
      <c r="B99" s="8" t="s">
        <v>134</v>
      </c>
      <c r="C99" s="3" t="s">
        <v>27</v>
      </c>
      <c r="D99" s="5">
        <v>46042</v>
      </c>
      <c r="E99" s="6" t="str">
        <f>VLOOKUP(TRIM(B99),'danh-muc-linh-kien'!$A$2:$D$100,2,FALSE())</f>
        <v>HDD 2TB SATA</v>
      </c>
    </row>
    <row r="100" spans="1:5" x14ac:dyDescent="0.3">
      <c r="A100" s="3" t="s">
        <v>118</v>
      </c>
      <c r="B100" s="8" t="s">
        <v>130</v>
      </c>
      <c r="C100" s="3" t="s">
        <v>27</v>
      </c>
      <c r="D100" s="5">
        <v>46070</v>
      </c>
      <c r="E100" s="6" t="str">
        <f>VLOOKUP(TRIM(B100),'danh-muc-linh-kien'!$A$2:$D$100,2,FALSE())</f>
        <v>CPU Intel Core i5</v>
      </c>
    </row>
    <row r="101" spans="1:5" x14ac:dyDescent="0.3">
      <c r="A101" s="3" t="s">
        <v>119</v>
      </c>
      <c r="B101" s="8" t="s">
        <v>129</v>
      </c>
      <c r="C101" s="3" t="s">
        <v>16</v>
      </c>
      <c r="D101" s="5">
        <v>46036</v>
      </c>
      <c r="E101" s="6" t="str">
        <f>VLOOKUP(TRIM(B101),'danh-muc-linh-kien'!$A$2:$D$100,2,FALSE())</f>
        <v>RAM 16GB DDR4</v>
      </c>
    </row>
  </sheetData>
  <autoFilter ref="A1:E1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Harper Waston</cp:lastModifiedBy>
  <cp:revision>0</cp:revision>
  <dcterms:created xsi:type="dcterms:W3CDTF">2026-10-26T17:16:34Z</dcterms:created>
  <dcterms:modified xsi:type="dcterms:W3CDTF">2026-10-27T01:28:35Z</dcterms:modified>
  <dc:language>en-US</dc:language>
</cp:coreProperties>
</file>